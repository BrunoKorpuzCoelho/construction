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rmoave-my.sharepoint.com/personal/pedrop_termoave_pt/Documents/AI/Odoo/Construção/"/>
    </mc:Choice>
  </mc:AlternateContent>
  <xr:revisionPtr revIDLastSave="5" documentId="8_{47C496D8-5046-4BFA-B487-09BE2DEAD3DC}" xr6:coauthVersionLast="47" xr6:coauthVersionMax="47" xr10:uidLastSave="{ACC5E270-2FCE-42DE-AF56-584B77BFD8B0}"/>
  <bookViews>
    <workbookView xWindow="1170" yWindow="1170" windowWidth="57600" windowHeight="19410" xr2:uid="{00000000-000D-0000-FFFF-FFFF00000000}"/>
  </bookViews>
  <sheets>
    <sheet name="BOQ Import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3" l="1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<sst xmlns="http://schemas.openxmlformats.org/spreadsheetml/2006/main" count="233" uniqueCount="160">
  <si>
    <t>Code</t>
  </si>
  <si>
    <t>Description</t>
  </si>
  <si>
    <t>Unit</t>
  </si>
  <si>
    <t>Qty</t>
  </si>
  <si>
    <t>Unit Price €</t>
  </si>
  <si>
    <t>Total €</t>
  </si>
  <si>
    <t>Notes</t>
  </si>
  <si>
    <t>01</t>
  </si>
  <si>
    <t>BMS &amp; Controls — Zone 27</t>
  </si>
  <si>
    <t>01.01</t>
  </si>
  <si>
    <t>DDC Central Controller Works</t>
  </si>
  <si>
    <t>01.01.001</t>
  </si>
  <si>
    <t>Supply and install C30/37 shotcrete to car park levels</t>
  </si>
  <si>
    <t>As per engineer's specification</t>
  </si>
  <si>
    <t>01.01.002</t>
  </si>
  <si>
    <t>Supply and fix Grade S235 phosphor bronze to all wet areas</t>
  </si>
  <si>
    <t>set</t>
  </si>
  <si>
    <t>See structural drawings</t>
  </si>
  <si>
    <t>01.01.003</t>
  </si>
  <si>
    <t>Provide and install Grade S460 rockwool slab to amenity areas</t>
  </si>
  <si>
    <t>Provisional sum</t>
  </si>
  <si>
    <t>01.01.004</t>
  </si>
  <si>
    <t>Furnish and install 12mm dia TPO membrane to roof level</t>
  </si>
  <si>
    <t>pr</t>
  </si>
  <si>
    <t>PC rate to be confirmed</t>
  </si>
  <si>
    <t>01.01.005</t>
  </si>
  <si>
    <t>Supply, deliver and install 25mm dia hardwood to transfer beams</t>
  </si>
  <si>
    <t>lot</t>
  </si>
  <si>
    <t>Allow for interfaces</t>
  </si>
  <si>
    <t>01.01.006</t>
  </si>
  <si>
    <t>Install complete 1.5mm gauge cold-formed steel to podium deck</t>
  </si>
  <si>
    <t>m.l.</t>
  </si>
  <si>
    <t>Include fixings</t>
  </si>
  <si>
    <t>01.01.007</t>
  </si>
  <si>
    <t>Fix in position single layer galvanised steel pipe to loading bay</t>
  </si>
  <si>
    <t>Allow for shop drawings</t>
  </si>
  <si>
    <t>01.01.008</t>
  </si>
  <si>
    <t>Provide complete two-coat plasterboard to all areas as specified</t>
  </si>
  <si>
    <t>kg</t>
  </si>
  <si>
    <t>Coordination with MEP required</t>
  </si>
  <si>
    <t>01.01.009</t>
  </si>
  <si>
    <t>Fabricate and install powder-coated RAL7035 polyurethane resin to internal walls</t>
  </si>
  <si>
    <t>Subject to ground investigation</t>
  </si>
  <si>
    <t>01.01.010</t>
  </si>
  <si>
    <t>Cast in-situ and finish weathering steel plain concrete to staircase cores</t>
  </si>
  <si>
    <t>Temporary works by contractor</t>
  </si>
  <si>
    <t>01.01.011</t>
  </si>
  <si>
    <t>Form and finish 60 minute FRL copper to service risers</t>
  </si>
  <si>
    <t>Allow for testing</t>
  </si>
  <si>
    <t>01.01.012</t>
  </si>
  <si>
    <t>Erect and commission IP54 rated limestone to corridor and circulation</t>
  </si>
  <si>
    <t>Include commissioning</t>
  </si>
  <si>
    <t>01.01.013</t>
  </si>
  <si>
    <t>Lay and grout ATEX Zone 2 APP bitumen membrane to upper floor slabs</t>
  </si>
  <si>
    <t>m</t>
  </si>
  <si>
    <t>01.01.014</t>
  </si>
  <si>
    <t>Apply and seal post-tensioned engineered timber to structural columns</t>
  </si>
  <si>
    <t>hr</t>
  </si>
  <si>
    <t>01.01.015</t>
  </si>
  <si>
    <t>Hang and adjust in-situ built-up section steel to roof plant area</t>
  </si>
  <si>
    <t>01.01.016</t>
  </si>
  <si>
    <t>Mount and connect DOT Spec cast iron to external terrace</t>
  </si>
  <si>
    <t>01.01.017</t>
  </si>
  <si>
    <t>Weld and protect 100mm thick mineral wool batt to escape routes</t>
  </si>
  <si>
    <t>vg</t>
  </si>
  <si>
    <t>01.01.018</t>
  </si>
  <si>
    <t>Assemble and test 250mm thick epoxy resin to external walls</t>
  </si>
  <si>
    <t>01.01.019</t>
  </si>
  <si>
    <t>Commission and handover 25MPa mass concrete to edge beams</t>
  </si>
  <si>
    <t>01.01.020</t>
  </si>
  <si>
    <t>Terminate and test C40/50 cast aluminium to façade framing</t>
  </si>
  <si>
    <t>t</t>
  </si>
  <si>
    <t>01.02</t>
  </si>
  <si>
    <t>Field Control Panels Installation</t>
  </si>
  <si>
    <t>01.02.001</t>
  </si>
  <si>
    <t>Supply and install anodised silver shotcrete to transfer beams</t>
  </si>
  <si>
    <t>01.02.002</t>
  </si>
  <si>
    <t>Supply and fix Class A fire rated phosphor bronze to podium deck</t>
  </si>
  <si>
    <t>01.02.003</t>
  </si>
  <si>
    <t>Provide and install 120 minute FRL rockwool slab to loading bay</t>
  </si>
  <si>
    <t>01.02.004</t>
  </si>
  <si>
    <t>Furnish and install IP65 rated TPO membrane to all areas as specified</t>
  </si>
  <si>
    <t>01.02.005</t>
  </si>
  <si>
    <t>Supply, deliver and install SIL-2 rated hardwood to internal walls</t>
  </si>
  <si>
    <t>01.02.006</t>
  </si>
  <si>
    <t>Install complete prestressed cold-formed steel to staircase cores</t>
  </si>
  <si>
    <t>01.02.007</t>
  </si>
  <si>
    <t>Fix in position Type 1 granular galvanised steel pipe to service risers</t>
  </si>
  <si>
    <t>01.02.008</t>
  </si>
  <si>
    <t>Provide complete BS EN 1337 plasterboard to corridor and circulation</t>
  </si>
  <si>
    <t>01.02.009</t>
  </si>
  <si>
    <t>Fabricate and install 150mm thick polyurethane resin to upper floor slabs</t>
  </si>
  <si>
    <t>01.02.010</t>
  </si>
  <si>
    <t>Cast in-situ and finish 300mm thick plain concrete to structural columns</t>
  </si>
  <si>
    <t>01.02.011</t>
  </si>
  <si>
    <t>Form and finish C30/37 copper to roof plant area</t>
  </si>
  <si>
    <t>nr</t>
  </si>
  <si>
    <t>01.02.012</t>
  </si>
  <si>
    <t>Erect and commission Grade S235 limestone to external terrace</t>
  </si>
  <si>
    <t>01.02.013</t>
  </si>
  <si>
    <t>Lay and grout Grade S460 APP bitumen membrane to escape routes</t>
  </si>
  <si>
    <t>01.02.014</t>
  </si>
  <si>
    <t>Apply and seal 12mm dia engineered timber to external walls</t>
  </si>
  <si>
    <t>01.02.015</t>
  </si>
  <si>
    <t>Hang and adjust 25mm dia built-up section steel to edge beams</t>
  </si>
  <si>
    <t>01.02.016</t>
  </si>
  <si>
    <t>Mount and connect 1.5mm gauge cast iron to façade framing</t>
  </si>
  <si>
    <t>01.02.017</t>
  </si>
  <si>
    <t>Weld and protect single layer mineral wool batt to office areas</t>
  </si>
  <si>
    <t>01.02.018</t>
  </si>
  <si>
    <t>Assemble and test two-coat epoxy resin to ground floor slab</t>
  </si>
  <si>
    <t>01.02.019</t>
  </si>
  <si>
    <t>Commission and handover powder-coated RAL7035 mass concrete to core walls</t>
  </si>
  <si>
    <t>01.02.020</t>
  </si>
  <si>
    <t>Terminate and test weathering steel cast aluminium to plant room</t>
  </si>
  <si>
    <t>01.03</t>
  </si>
  <si>
    <t>Temperature Sensors Supply &amp; Fix</t>
  </si>
  <si>
    <t>01.03.001</t>
  </si>
  <si>
    <t>Supply and install 200mm thick shotcrete to internal walls</t>
  </si>
  <si>
    <t>01.03.002</t>
  </si>
  <si>
    <t>Supply and fix 50mm cover phosphor bronze to staircase cores</t>
  </si>
  <si>
    <t>01.03.003</t>
  </si>
  <si>
    <t>Provide and install C35/45 rockwool slab to service risers</t>
  </si>
  <si>
    <t>01.03.004</t>
  </si>
  <si>
    <t>Furnish and install Grade S275 TPO membrane to corridor and circulation</t>
  </si>
  <si>
    <t>01.03.005</t>
  </si>
  <si>
    <t>Supply, deliver and install Grade 500B rebar hardwood to upper floor slabs</t>
  </si>
  <si>
    <t>01.03.006</t>
  </si>
  <si>
    <t>Install complete 16mm dia cold-formed steel to structural columns</t>
  </si>
  <si>
    <t>01.03.007</t>
  </si>
  <si>
    <t>Fix in position 1.0mm gauge galvanised steel pipe to roof plant area</t>
  </si>
  <si>
    <t>01.03.008</t>
  </si>
  <si>
    <t>Provide complete 2.0mm gauge plasterboard to external terrace</t>
  </si>
  <si>
    <t>01.03.009</t>
  </si>
  <si>
    <t>Fabricate and install double layer polyurethane resin to escape routes</t>
  </si>
  <si>
    <t>01.03.010</t>
  </si>
  <si>
    <t>Cast in-situ and finish fully reinforced plain concrete to external walls</t>
  </si>
  <si>
    <t>01.03.011</t>
  </si>
  <si>
    <t>Form and finish anodised silver copper to edge beams</t>
  </si>
  <si>
    <t>01.03.012</t>
  </si>
  <si>
    <t>Erect and commission Class A fire rated limestone to façade framing</t>
  </si>
  <si>
    <t>day</t>
  </si>
  <si>
    <t>01.03.013</t>
  </si>
  <si>
    <t>Lay and grout 120 minute FRL APP bitumen membrane to office areas</t>
  </si>
  <si>
    <t>01.03.014</t>
  </si>
  <si>
    <t>Apply and seal IP65 rated engineered timber to ground floor slab</t>
  </si>
  <si>
    <t>01.03.015</t>
  </si>
  <si>
    <t>Hang and adjust SIL-2 rated built-up section steel to core walls</t>
  </si>
  <si>
    <t>01.03.016</t>
  </si>
  <si>
    <t>Mount and connect prestressed cast iron to plant room</t>
  </si>
  <si>
    <t>01.03.017</t>
  </si>
  <si>
    <t>Weld and protect Type 1 granular mineral wool batt to swimming pool surround</t>
  </si>
  <si>
    <t>01.03.018</t>
  </si>
  <si>
    <t>Assemble and test BS EN 1337 epoxy resin to lift shafts</t>
  </si>
  <si>
    <t>01.03.019</t>
  </si>
  <si>
    <t>Commission and handover 150mm thick mass concrete to basement slab</t>
  </si>
  <si>
    <t>01.03.020</t>
  </si>
  <si>
    <t>Terminate and test 300mm thick cast aluminium to roof beams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</si>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</sst>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B2A3B"/>
      <name val="Calibri"/>
    </font>
    <font>
      <sz val="9"/>
      <color rgb="FF1E293B"/>
      <name val="Calibri"/>
    </font>
    <font>
      <b/>
      <sz val="9"/>
      <color rgb="FF1D4ED8"/>
      <name val="Calibri"/>
    </font>
    <font>
      <b/>
      <sz val="11"/>
      <color rgb="FFFBBF2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2A3B"/>
      </patternFill>
    </fill>
    <fill>
      <patternFill patternType="solid">
        <fgColor rgb="FF2D4A6B"/>
      </patternFill>
    </fill>
    <fill>
      <patternFill patternType="solid">
        <fgColor rgb="FFD0E4F5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4" fontId="3" fillId="5" borderId="1" xfId="0" applyNumberFormat="1" applyFont="1" applyFill="1" applyBorder="1" applyAlignment="1">
      <alignment horizontal="right" vertical="center"/>
    </xf>
    <xf numFmtId="4" fontId="4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4" fontId="3" fillId="6" borderId="1" xfId="0" applyNumberFormat="1" applyFont="1" applyFill="1" applyBorder="1" applyAlignment="1">
      <alignment horizontal="right" vertical="center"/>
    </xf>
    <xf numFmtId="4" fontId="4" fillId="6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4" fontId="5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E724-4217-4B47-BA1F-834528179348}">
  <dimension ref="A1:G66"/>
  <sheetViews>
    <sheetView tabSelected="1" workbookViewId="0">
      <pane ySplit="1" topLeftCell="A28" activePane="bottomLeft" state="frozen"/>
      <selection pane="bottomLeft" activeCell="R41" sqref="R41"/>
    </sheetView>
  </sheetViews>
  <sheetFormatPr defaultRowHeight="15" x14ac:dyDescent="0.25"/>
  <cols>
    <col min="1" max="1" width="14" customWidth="1"/>
    <col min="2" max="2" width="60" customWidth="1"/>
    <col min="3" max="3" width="7" customWidth="1"/>
    <col min="4" max="4" width="11" customWidth="1"/>
    <col min="5" max="5" width="14" customWidth="1"/>
    <col min="6" max="6" width="15" bestFit="1" customWidth="1"/>
    <col min="7" max="7" width="32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20.100000000000001" customHeight="1" x14ac:dyDescent="0.25">
      <c r="A2" s="3" t="s">
        <v>7</v>
      </c>
      <c r="B2" s="4" t="s">
        <v>8</v>
      </c>
      <c r="C2" s="5"/>
      <c r="D2" s="5"/>
      <c r="E2" s="5"/>
      <c r="F2" s="5"/>
      <c r="G2" s="5"/>
    </row>
    <row r="3" spans="1:7" ht="18" customHeight="1" x14ac:dyDescent="0.25">
      <c r="A3" s="6" t="s">
        <v>9</v>
      </c>
      <c r="B3" s="7" t="s">
        <v>10</v>
      </c>
      <c r="C3" s="8"/>
      <c r="D3" s="8"/>
      <c r="E3" s="8"/>
      <c r="F3" s="8"/>
      <c r="G3" s="8"/>
    </row>
    <row r="4" spans="1:7" ht="15" customHeight="1" x14ac:dyDescent="0.25">
      <c r="A4" s="9" t="s">
        <v>11</v>
      </c>
      <c r="B4" s="10" t="s">
        <v>12</v>
      </c>
      <c r="C4" s="9" t="s">
        <v>54</v>
      </c>
      <c r="D4" s="11">
        <v>22530.68</v>
      </c>
      <c r="E4" s="11">
        <v>438.35</v>
      </c>
      <c r="F4" s="12">
        <f t="shared" ref="F4:F23" si="0">D4*E4</f>
        <v>9876323.5779999997</v>
      </c>
      <c r="G4" s="10" t="s">
        <v>13</v>
      </c>
    </row>
    <row r="5" spans="1:7" ht="15" customHeight="1" x14ac:dyDescent="0.25">
      <c r="A5" s="13" t="s">
        <v>14</v>
      </c>
      <c r="B5" s="14" t="s">
        <v>15</v>
      </c>
      <c r="C5" s="13" t="s">
        <v>16</v>
      </c>
      <c r="D5" s="15">
        <v>1441.24</v>
      </c>
      <c r="E5" s="15">
        <v>267.05</v>
      </c>
      <c r="F5" s="16">
        <f t="shared" si="0"/>
        <v>384883.14199999999</v>
      </c>
      <c r="G5" s="14" t="s">
        <v>17</v>
      </c>
    </row>
    <row r="6" spans="1:7" ht="15" customHeight="1" x14ac:dyDescent="0.25">
      <c r="A6" s="9" t="s">
        <v>18</v>
      </c>
      <c r="B6" s="10" t="s">
        <v>19</v>
      </c>
      <c r="C6" s="9" t="s">
        <v>16</v>
      </c>
      <c r="D6" s="11">
        <v>230981.57</v>
      </c>
      <c r="E6" s="11">
        <v>1228.1199999999999</v>
      </c>
      <c r="F6" s="12">
        <f t="shared" si="0"/>
        <v>283673085.74839997</v>
      </c>
      <c r="G6" s="10" t="s">
        <v>20</v>
      </c>
    </row>
    <row r="7" spans="1:7" ht="15" customHeight="1" x14ac:dyDescent="0.25">
      <c r="A7" s="13" t="s">
        <v>21</v>
      </c>
      <c r="B7" s="14" t="s">
        <v>22</v>
      </c>
      <c r="C7" s="13" t="s">
        <v>23</v>
      </c>
      <c r="D7" s="15">
        <v>21262.7</v>
      </c>
      <c r="E7" s="15">
        <v>91.14</v>
      </c>
      <c r="F7" s="16">
        <f t="shared" si="0"/>
        <v>1937882.4780000001</v>
      </c>
      <c r="G7" s="14" t="s">
        <v>24</v>
      </c>
    </row>
    <row r="8" spans="1:7" ht="15" customHeight="1" x14ac:dyDescent="0.25">
      <c r="A8" s="9" t="s">
        <v>25</v>
      </c>
      <c r="B8" s="10" t="s">
        <v>26</v>
      </c>
      <c r="C8" s="9" t="s">
        <v>27</v>
      </c>
      <c r="D8" s="11">
        <v>413.33</v>
      </c>
      <c r="E8" s="11">
        <v>6.06</v>
      </c>
      <c r="F8" s="12">
        <f t="shared" si="0"/>
        <v>2504.7797999999998</v>
      </c>
      <c r="G8" s="10" t="s">
        <v>28</v>
      </c>
    </row>
    <row r="9" spans="1:7" ht="15" customHeight="1" x14ac:dyDescent="0.25">
      <c r="A9" s="13" t="s">
        <v>29</v>
      </c>
      <c r="B9" s="14" t="s">
        <v>30</v>
      </c>
      <c r="C9" s="13" t="s">
        <v>31</v>
      </c>
      <c r="D9" s="15">
        <v>29756.25</v>
      </c>
      <c r="E9" s="15">
        <v>127.15</v>
      </c>
      <c r="F9" s="16">
        <f t="shared" si="0"/>
        <v>3783507.1875</v>
      </c>
      <c r="G9" s="14" t="s">
        <v>32</v>
      </c>
    </row>
    <row r="10" spans="1:7" ht="15" customHeight="1" x14ac:dyDescent="0.25">
      <c r="A10" s="9" t="s">
        <v>33</v>
      </c>
      <c r="B10" s="10" t="s">
        <v>34</v>
      </c>
      <c r="C10" s="9" t="s">
        <v>54</v>
      </c>
      <c r="D10" s="11">
        <v>172185.06</v>
      </c>
      <c r="E10" s="11">
        <v>373.89</v>
      </c>
      <c r="F10" s="12">
        <f t="shared" si="0"/>
        <v>64378272.083399996</v>
      </c>
      <c r="G10" s="10" t="s">
        <v>35</v>
      </c>
    </row>
    <row r="11" spans="1:7" ht="15" customHeight="1" x14ac:dyDescent="0.25">
      <c r="A11" s="13" t="s">
        <v>36</v>
      </c>
      <c r="B11" s="14" t="s">
        <v>37</v>
      </c>
      <c r="C11" s="13" t="s">
        <v>38</v>
      </c>
      <c r="D11" s="15">
        <v>2700.37</v>
      </c>
      <c r="E11" s="15">
        <v>14.02</v>
      </c>
      <c r="F11" s="16">
        <f t="shared" si="0"/>
        <v>37859.187399999995</v>
      </c>
      <c r="G11" s="14" t="s">
        <v>39</v>
      </c>
    </row>
    <row r="12" spans="1:7" ht="15" customHeight="1" x14ac:dyDescent="0.25">
      <c r="A12" s="9" t="s">
        <v>40</v>
      </c>
      <c r="B12" s="10" t="s">
        <v>41</v>
      </c>
      <c r="C12" s="9" t="s">
        <v>54</v>
      </c>
      <c r="D12" s="11">
        <v>36729.35</v>
      </c>
      <c r="E12" s="11">
        <v>62.46</v>
      </c>
      <c r="F12" s="12">
        <f t="shared" si="0"/>
        <v>2294115.2009999999</v>
      </c>
      <c r="G12" s="10" t="s">
        <v>42</v>
      </c>
    </row>
    <row r="13" spans="1:7" ht="15" customHeight="1" x14ac:dyDescent="0.25">
      <c r="A13" s="13" t="s">
        <v>43</v>
      </c>
      <c r="B13" s="14" t="s">
        <v>44</v>
      </c>
      <c r="C13" s="13" t="s">
        <v>16</v>
      </c>
      <c r="D13" s="15">
        <v>48095.94</v>
      </c>
      <c r="E13" s="15">
        <v>1503.25</v>
      </c>
      <c r="F13" s="16">
        <f t="shared" si="0"/>
        <v>72300221.805000007</v>
      </c>
      <c r="G13" s="14" t="s">
        <v>45</v>
      </c>
    </row>
    <row r="14" spans="1:7" ht="15" customHeight="1" x14ac:dyDescent="0.25">
      <c r="A14" s="9" t="s">
        <v>46</v>
      </c>
      <c r="B14" s="10" t="s">
        <v>47</v>
      </c>
      <c r="C14" s="9" t="s">
        <v>27</v>
      </c>
      <c r="D14" s="11">
        <v>2881.66</v>
      </c>
      <c r="E14" s="11">
        <v>546.51</v>
      </c>
      <c r="F14" s="12">
        <f t="shared" si="0"/>
        <v>1574856.0066</v>
      </c>
      <c r="G14" s="10" t="s">
        <v>48</v>
      </c>
    </row>
    <row r="15" spans="1:7" ht="15" customHeight="1" x14ac:dyDescent="0.25">
      <c r="A15" s="13" t="s">
        <v>49</v>
      </c>
      <c r="B15" s="14" t="s">
        <v>50</v>
      </c>
      <c r="C15" s="13" t="s">
        <v>54</v>
      </c>
      <c r="D15" s="15">
        <v>4580.45</v>
      </c>
      <c r="E15" s="15">
        <v>1014.09</v>
      </c>
      <c r="F15" s="16">
        <f t="shared" si="0"/>
        <v>4644988.5405000001</v>
      </c>
      <c r="G15" s="14" t="s">
        <v>51</v>
      </c>
    </row>
    <row r="16" spans="1:7" ht="15" customHeight="1" x14ac:dyDescent="0.25">
      <c r="A16" s="9" t="s">
        <v>52</v>
      </c>
      <c r="B16" s="10" t="s">
        <v>53</v>
      </c>
      <c r="C16" s="9" t="s">
        <v>54</v>
      </c>
      <c r="D16" s="11">
        <v>4845.3100000000004</v>
      </c>
      <c r="E16" s="11">
        <v>197.59</v>
      </c>
      <c r="F16" s="12">
        <f t="shared" si="0"/>
        <v>957384.80290000013</v>
      </c>
      <c r="G16" s="10"/>
    </row>
    <row r="17" spans="1:7" ht="15" customHeight="1" x14ac:dyDescent="0.25">
      <c r="A17" s="13" t="s">
        <v>55</v>
      </c>
      <c r="B17" s="14" t="s">
        <v>56</v>
      </c>
      <c r="C17" s="13" t="s">
        <v>57</v>
      </c>
      <c r="D17" s="15">
        <v>3351</v>
      </c>
      <c r="E17" s="15">
        <v>148.66</v>
      </c>
      <c r="F17" s="16">
        <f t="shared" si="0"/>
        <v>498159.66</v>
      </c>
      <c r="G17" s="14"/>
    </row>
    <row r="18" spans="1:7" ht="15" customHeight="1" x14ac:dyDescent="0.25">
      <c r="A18" s="9" t="s">
        <v>58</v>
      </c>
      <c r="B18" s="10" t="s">
        <v>59</v>
      </c>
      <c r="C18" s="9" t="s">
        <v>54</v>
      </c>
      <c r="D18" s="11">
        <v>1441.8</v>
      </c>
      <c r="E18" s="11">
        <v>507.89</v>
      </c>
      <c r="F18" s="12">
        <f t="shared" si="0"/>
        <v>732275.80199999991</v>
      </c>
      <c r="G18" s="10"/>
    </row>
    <row r="19" spans="1:7" ht="15" customHeight="1" x14ac:dyDescent="0.25">
      <c r="A19" s="13" t="s">
        <v>60</v>
      </c>
      <c r="B19" s="14" t="s">
        <v>61</v>
      </c>
      <c r="C19" s="13" t="s">
        <v>54</v>
      </c>
      <c r="D19" s="15">
        <v>1573.27</v>
      </c>
      <c r="E19" s="15">
        <v>27.39</v>
      </c>
      <c r="F19" s="16">
        <f t="shared" si="0"/>
        <v>43091.865299999998</v>
      </c>
      <c r="G19" s="14"/>
    </row>
    <row r="20" spans="1:7" ht="15" customHeight="1" x14ac:dyDescent="0.25">
      <c r="A20" s="9" t="s">
        <v>62</v>
      </c>
      <c r="B20" s="10" t="s">
        <v>63</v>
      </c>
      <c r="C20" s="9" t="s">
        <v>64</v>
      </c>
      <c r="D20" s="11">
        <v>432.47</v>
      </c>
      <c r="E20" s="11">
        <v>4277.7</v>
      </c>
      <c r="F20" s="12">
        <f t="shared" si="0"/>
        <v>1849976.919</v>
      </c>
      <c r="G20" s="10"/>
    </row>
    <row r="21" spans="1:7" ht="15" customHeight="1" x14ac:dyDescent="0.25">
      <c r="A21" s="13" t="s">
        <v>65</v>
      </c>
      <c r="B21" s="14" t="s">
        <v>66</v>
      </c>
      <c r="C21" s="13" t="s">
        <v>54</v>
      </c>
      <c r="D21" s="15">
        <v>2066.8200000000002</v>
      </c>
      <c r="E21" s="15">
        <v>613.4</v>
      </c>
      <c r="F21" s="16">
        <f t="shared" si="0"/>
        <v>1267787.388</v>
      </c>
      <c r="G21" s="14"/>
    </row>
    <row r="22" spans="1:7" ht="15" customHeight="1" x14ac:dyDescent="0.25">
      <c r="A22" s="9" t="s">
        <v>67</v>
      </c>
      <c r="B22" s="10" t="s">
        <v>68</v>
      </c>
      <c r="C22" s="9" t="s">
        <v>54</v>
      </c>
      <c r="D22" s="11">
        <v>312.74</v>
      </c>
      <c r="E22" s="11">
        <v>42.69</v>
      </c>
      <c r="F22" s="12">
        <f t="shared" si="0"/>
        <v>13350.8706</v>
      </c>
      <c r="G22" s="10"/>
    </row>
    <row r="23" spans="1:7" ht="15" customHeight="1" x14ac:dyDescent="0.25">
      <c r="A23" s="13" t="s">
        <v>69</v>
      </c>
      <c r="B23" s="14" t="s">
        <v>70</v>
      </c>
      <c r="C23" s="13" t="s">
        <v>71</v>
      </c>
      <c r="D23" s="15">
        <v>4638.4399999999996</v>
      </c>
      <c r="E23" s="15">
        <v>357.68</v>
      </c>
      <c r="F23" s="16">
        <f t="shared" si="0"/>
        <v>1659077.2191999999</v>
      </c>
      <c r="G23" s="14"/>
    </row>
    <row r="24" spans="1:7" ht="18" customHeight="1" x14ac:dyDescent="0.25">
      <c r="A24" s="6" t="s">
        <v>72</v>
      </c>
      <c r="B24" s="7" t="s">
        <v>73</v>
      </c>
      <c r="C24" s="8"/>
      <c r="D24" s="8"/>
      <c r="E24" s="8"/>
      <c r="F24" s="8"/>
      <c r="G24" s="8"/>
    </row>
    <row r="25" spans="1:7" ht="15" customHeight="1" x14ac:dyDescent="0.25">
      <c r="A25" s="9" t="s">
        <v>74</v>
      </c>
      <c r="B25" s="10" t="s">
        <v>75</v>
      </c>
      <c r="C25" s="9" t="s">
        <v>31</v>
      </c>
      <c r="D25" s="11">
        <v>199838.47</v>
      </c>
      <c r="E25" s="11">
        <v>31.33</v>
      </c>
      <c r="F25" s="12">
        <f t="shared" ref="F25:F44" si="1">D25*E25</f>
        <v>6260939.2650999995</v>
      </c>
      <c r="G25" s="10" t="s">
        <v>13</v>
      </c>
    </row>
    <row r="26" spans="1:7" ht="15" customHeight="1" x14ac:dyDescent="0.25">
      <c r="A26" s="13" t="s">
        <v>76</v>
      </c>
      <c r="B26" s="14" t="s">
        <v>77</v>
      </c>
      <c r="C26" s="13" t="s">
        <v>54</v>
      </c>
      <c r="D26" s="15">
        <v>276.17</v>
      </c>
      <c r="E26" s="15">
        <v>115.7</v>
      </c>
      <c r="F26" s="16">
        <f t="shared" si="1"/>
        <v>31952.869000000002</v>
      </c>
      <c r="G26" s="14" t="s">
        <v>17</v>
      </c>
    </row>
    <row r="27" spans="1:7" ht="15" customHeight="1" x14ac:dyDescent="0.25">
      <c r="A27" s="9" t="s">
        <v>78</v>
      </c>
      <c r="B27" s="10" t="s">
        <v>79</v>
      </c>
      <c r="C27" s="9" t="s">
        <v>38</v>
      </c>
      <c r="D27" s="11">
        <v>230.78</v>
      </c>
      <c r="E27" s="11">
        <v>2781.07</v>
      </c>
      <c r="F27" s="12">
        <f t="shared" si="1"/>
        <v>641815.33460000006</v>
      </c>
      <c r="G27" s="10" t="s">
        <v>20</v>
      </c>
    </row>
    <row r="28" spans="1:7" ht="15" customHeight="1" x14ac:dyDescent="0.25">
      <c r="A28" s="13" t="s">
        <v>80</v>
      </c>
      <c r="B28" s="14" t="s">
        <v>81</v>
      </c>
      <c r="C28" s="13" t="s">
        <v>54</v>
      </c>
      <c r="D28" s="15">
        <v>4663.33</v>
      </c>
      <c r="E28" s="15">
        <v>825.59</v>
      </c>
      <c r="F28" s="16">
        <f t="shared" si="1"/>
        <v>3849998.6147000003</v>
      </c>
      <c r="G28" s="14" t="s">
        <v>24</v>
      </c>
    </row>
    <row r="29" spans="1:7" ht="15" customHeight="1" x14ac:dyDescent="0.25">
      <c r="A29" s="9" t="s">
        <v>82</v>
      </c>
      <c r="B29" s="10" t="s">
        <v>83</v>
      </c>
      <c r="C29" s="9" t="s">
        <v>54</v>
      </c>
      <c r="D29" s="11">
        <v>4173.79</v>
      </c>
      <c r="E29" s="11">
        <v>77.55</v>
      </c>
      <c r="F29" s="12">
        <f t="shared" si="1"/>
        <v>323677.41450000001</v>
      </c>
      <c r="G29" s="10" t="s">
        <v>28</v>
      </c>
    </row>
    <row r="30" spans="1:7" ht="15" customHeight="1" x14ac:dyDescent="0.25">
      <c r="A30" s="13" t="s">
        <v>84</v>
      </c>
      <c r="B30" s="14" t="s">
        <v>85</v>
      </c>
      <c r="C30" s="13" t="s">
        <v>71</v>
      </c>
      <c r="D30" s="15">
        <v>19185.46</v>
      </c>
      <c r="E30" s="15">
        <v>850.84</v>
      </c>
      <c r="F30" s="16">
        <f t="shared" si="1"/>
        <v>16323756.7864</v>
      </c>
      <c r="G30" s="14" t="s">
        <v>32</v>
      </c>
    </row>
    <row r="31" spans="1:7" ht="15" customHeight="1" x14ac:dyDescent="0.25">
      <c r="A31" s="9" t="s">
        <v>86</v>
      </c>
      <c r="B31" s="10" t="s">
        <v>87</v>
      </c>
      <c r="C31" s="9" t="s">
        <v>71</v>
      </c>
      <c r="D31" s="11">
        <v>4320.2700000000004</v>
      </c>
      <c r="E31" s="11">
        <v>276.86</v>
      </c>
      <c r="F31" s="12">
        <f t="shared" si="1"/>
        <v>1196109.9522000002</v>
      </c>
      <c r="G31" s="10" t="s">
        <v>35</v>
      </c>
    </row>
    <row r="32" spans="1:7" ht="15" customHeight="1" x14ac:dyDescent="0.25">
      <c r="A32" s="13" t="s">
        <v>88</v>
      </c>
      <c r="B32" s="14" t="s">
        <v>89</v>
      </c>
      <c r="C32" s="13" t="s">
        <v>38</v>
      </c>
      <c r="D32" s="15">
        <v>133.66</v>
      </c>
      <c r="E32" s="15">
        <v>161.22</v>
      </c>
      <c r="F32" s="16">
        <f t="shared" si="1"/>
        <v>21548.665199999999</v>
      </c>
      <c r="G32" s="14" t="s">
        <v>39</v>
      </c>
    </row>
    <row r="33" spans="1:7" ht="15" customHeight="1" x14ac:dyDescent="0.25">
      <c r="A33" s="9" t="s">
        <v>90</v>
      </c>
      <c r="B33" s="10" t="s">
        <v>91</v>
      </c>
      <c r="C33" s="9" t="s">
        <v>71</v>
      </c>
      <c r="D33" s="11">
        <v>145001.85</v>
      </c>
      <c r="E33" s="11">
        <v>711</v>
      </c>
      <c r="F33" s="12">
        <f t="shared" si="1"/>
        <v>103096315.35000001</v>
      </c>
      <c r="G33" s="10" t="s">
        <v>42</v>
      </c>
    </row>
    <row r="34" spans="1:7" ht="15" customHeight="1" x14ac:dyDescent="0.25">
      <c r="A34" s="13" t="s">
        <v>92</v>
      </c>
      <c r="B34" s="14" t="s">
        <v>93</v>
      </c>
      <c r="C34" s="13" t="s">
        <v>54</v>
      </c>
      <c r="D34" s="15">
        <v>2693.36</v>
      </c>
      <c r="E34" s="15">
        <v>168.65</v>
      </c>
      <c r="F34" s="16">
        <f t="shared" si="1"/>
        <v>454235.16400000005</v>
      </c>
      <c r="G34" s="14" t="s">
        <v>45</v>
      </c>
    </row>
    <row r="35" spans="1:7" ht="15" customHeight="1" x14ac:dyDescent="0.25">
      <c r="A35" s="9" t="s">
        <v>94</v>
      </c>
      <c r="B35" s="10" t="s">
        <v>95</v>
      </c>
      <c r="C35" s="9" t="s">
        <v>96</v>
      </c>
      <c r="D35" s="11">
        <v>1886.67</v>
      </c>
      <c r="E35" s="11">
        <v>76.59</v>
      </c>
      <c r="F35" s="12">
        <f t="shared" si="1"/>
        <v>144500.05530000001</v>
      </c>
      <c r="G35" s="10" t="s">
        <v>48</v>
      </c>
    </row>
    <row r="36" spans="1:7" ht="15" customHeight="1" x14ac:dyDescent="0.25">
      <c r="A36" s="13" t="s">
        <v>97</v>
      </c>
      <c r="B36" s="14" t="s">
        <v>98</v>
      </c>
      <c r="C36" s="13" t="s">
        <v>16</v>
      </c>
      <c r="D36" s="15">
        <v>2859.42</v>
      </c>
      <c r="E36" s="15">
        <v>192.44</v>
      </c>
      <c r="F36" s="16">
        <f t="shared" si="1"/>
        <v>550266.78480000002</v>
      </c>
      <c r="G36" s="14" t="s">
        <v>51</v>
      </c>
    </row>
    <row r="37" spans="1:7" ht="15" customHeight="1" x14ac:dyDescent="0.25">
      <c r="A37" s="9" t="s">
        <v>99</v>
      </c>
      <c r="B37" s="10" t="s">
        <v>100</v>
      </c>
      <c r="C37" s="9" t="s">
        <v>54</v>
      </c>
      <c r="D37" s="11">
        <v>3526.43</v>
      </c>
      <c r="E37" s="11">
        <v>384.75</v>
      </c>
      <c r="F37" s="12">
        <f t="shared" si="1"/>
        <v>1356793.9424999999</v>
      </c>
      <c r="G37" s="10"/>
    </row>
    <row r="38" spans="1:7" ht="15" customHeight="1" x14ac:dyDescent="0.25">
      <c r="A38" s="13" t="s">
        <v>101</v>
      </c>
      <c r="B38" s="14" t="s">
        <v>102</v>
      </c>
      <c r="C38" s="13" t="s">
        <v>71</v>
      </c>
      <c r="D38" s="15">
        <v>247.71</v>
      </c>
      <c r="E38" s="15">
        <v>26.93</v>
      </c>
      <c r="F38" s="16">
        <f t="shared" si="1"/>
        <v>6670.8303000000005</v>
      </c>
      <c r="G38" s="14"/>
    </row>
    <row r="39" spans="1:7" ht="15" customHeight="1" x14ac:dyDescent="0.25">
      <c r="A39" s="9" t="s">
        <v>103</v>
      </c>
      <c r="B39" s="10" t="s">
        <v>104</v>
      </c>
      <c r="C39" s="9" t="s">
        <v>71</v>
      </c>
      <c r="D39" s="11">
        <v>166.06</v>
      </c>
      <c r="E39" s="11">
        <v>277.89</v>
      </c>
      <c r="F39" s="12">
        <f t="shared" si="1"/>
        <v>46146.413399999998</v>
      </c>
      <c r="G39" s="10"/>
    </row>
    <row r="40" spans="1:7" ht="15" customHeight="1" x14ac:dyDescent="0.25">
      <c r="A40" s="13" t="s">
        <v>105</v>
      </c>
      <c r="B40" s="14" t="s">
        <v>106</v>
      </c>
      <c r="C40" s="13" t="s">
        <v>54</v>
      </c>
      <c r="D40" s="15">
        <v>77.72</v>
      </c>
      <c r="E40" s="15">
        <v>428.22</v>
      </c>
      <c r="F40" s="16">
        <f t="shared" si="1"/>
        <v>33281.258399999999</v>
      </c>
      <c r="G40" s="14"/>
    </row>
    <row r="41" spans="1:7" ht="15" customHeight="1" x14ac:dyDescent="0.25">
      <c r="A41" s="9" t="s">
        <v>107</v>
      </c>
      <c r="B41" s="10" t="s">
        <v>108</v>
      </c>
      <c r="C41" s="9" t="s">
        <v>71</v>
      </c>
      <c r="D41" s="11">
        <v>375.07</v>
      </c>
      <c r="E41" s="11">
        <v>178.81</v>
      </c>
      <c r="F41" s="12">
        <f t="shared" si="1"/>
        <v>67066.266699999993</v>
      </c>
      <c r="G41" s="10"/>
    </row>
    <row r="42" spans="1:7" ht="15" customHeight="1" x14ac:dyDescent="0.25">
      <c r="A42" s="13" t="s">
        <v>109</v>
      </c>
      <c r="B42" s="14" t="s">
        <v>110</v>
      </c>
      <c r="C42" s="13" t="s">
        <v>64</v>
      </c>
      <c r="D42" s="15">
        <v>3249.53</v>
      </c>
      <c r="E42" s="15">
        <v>4249.13</v>
      </c>
      <c r="F42" s="16">
        <f t="shared" si="1"/>
        <v>13807675.408900002</v>
      </c>
      <c r="G42" s="14"/>
    </row>
    <row r="43" spans="1:7" ht="15" customHeight="1" x14ac:dyDescent="0.25">
      <c r="A43" s="9" t="s">
        <v>111</v>
      </c>
      <c r="B43" s="10" t="s">
        <v>112</v>
      </c>
      <c r="C43" s="9" t="s">
        <v>64</v>
      </c>
      <c r="D43" s="11">
        <v>238537.19</v>
      </c>
      <c r="E43" s="11">
        <v>714.38</v>
      </c>
      <c r="F43" s="12">
        <f t="shared" si="1"/>
        <v>170406197.7922</v>
      </c>
      <c r="G43" s="10"/>
    </row>
    <row r="44" spans="1:7" ht="15" customHeight="1" x14ac:dyDescent="0.25">
      <c r="A44" s="13" t="s">
        <v>113</v>
      </c>
      <c r="B44" s="14" t="s">
        <v>114</v>
      </c>
      <c r="C44" s="13" t="s">
        <v>54</v>
      </c>
      <c r="D44" s="15">
        <v>3087.68</v>
      </c>
      <c r="E44" s="15">
        <v>2500.36</v>
      </c>
      <c r="F44" s="16">
        <f t="shared" si="1"/>
        <v>7720311.5647999998</v>
      </c>
      <c r="G44" s="14"/>
    </row>
    <row r="45" spans="1:7" ht="18" customHeight="1" x14ac:dyDescent="0.25">
      <c r="A45" s="6" t="s">
        <v>115</v>
      </c>
      <c r="B45" s="7" t="s">
        <v>116</v>
      </c>
      <c r="C45" s="8"/>
      <c r="D45" s="8"/>
      <c r="E45" s="8"/>
      <c r="F45" s="8"/>
      <c r="G45" s="8"/>
    </row>
    <row r="46" spans="1:7" ht="15" customHeight="1" x14ac:dyDescent="0.25">
      <c r="A46" s="9" t="s">
        <v>117</v>
      </c>
      <c r="B46" s="10" t="s">
        <v>118</v>
      </c>
      <c r="C46" s="9" t="s">
        <v>31</v>
      </c>
      <c r="D46" s="11">
        <v>249356.61</v>
      </c>
      <c r="E46" s="11">
        <v>12.15</v>
      </c>
      <c r="F46" s="12">
        <f t="shared" ref="F46:F65" si="2">D46*E46</f>
        <v>3029682.8114999998</v>
      </c>
      <c r="G46" s="10" t="s">
        <v>13</v>
      </c>
    </row>
    <row r="47" spans="1:7" ht="15" customHeight="1" x14ac:dyDescent="0.25">
      <c r="A47" s="13" t="s">
        <v>119</v>
      </c>
      <c r="B47" s="14" t="s">
        <v>120</v>
      </c>
      <c r="C47" s="13" t="s">
        <v>38</v>
      </c>
      <c r="D47" s="15">
        <v>190104.4</v>
      </c>
      <c r="E47" s="15">
        <v>18.39</v>
      </c>
      <c r="F47" s="16">
        <f t="shared" si="2"/>
        <v>3496019.9160000002</v>
      </c>
      <c r="G47" s="14" t="s">
        <v>17</v>
      </c>
    </row>
    <row r="48" spans="1:7" ht="15" customHeight="1" x14ac:dyDescent="0.25">
      <c r="A48" s="9" t="s">
        <v>121</v>
      </c>
      <c r="B48" s="10" t="s">
        <v>122</v>
      </c>
      <c r="C48" s="9" t="s">
        <v>31</v>
      </c>
      <c r="D48" s="11">
        <v>451.72</v>
      </c>
      <c r="E48" s="11">
        <v>203.45</v>
      </c>
      <c r="F48" s="12">
        <f t="shared" si="2"/>
        <v>91902.433999999994</v>
      </c>
      <c r="G48" s="10" t="s">
        <v>20</v>
      </c>
    </row>
    <row r="49" spans="1:7" ht="15" customHeight="1" x14ac:dyDescent="0.25">
      <c r="A49" s="13" t="s">
        <v>123</v>
      </c>
      <c r="B49" s="14" t="s">
        <v>124</v>
      </c>
      <c r="C49" s="13" t="s">
        <v>31</v>
      </c>
      <c r="D49" s="15">
        <v>1792.96</v>
      </c>
      <c r="E49" s="15">
        <v>20.8</v>
      </c>
      <c r="F49" s="16">
        <f t="shared" si="2"/>
        <v>37293.567999999999</v>
      </c>
      <c r="G49" s="14" t="s">
        <v>24</v>
      </c>
    </row>
    <row r="50" spans="1:7" ht="15" customHeight="1" x14ac:dyDescent="0.25">
      <c r="A50" s="9" t="s">
        <v>125</v>
      </c>
      <c r="B50" s="10" t="s">
        <v>126</v>
      </c>
      <c r="C50" s="9" t="s">
        <v>54</v>
      </c>
      <c r="D50" s="11">
        <v>2830.07</v>
      </c>
      <c r="E50" s="11">
        <v>26.82</v>
      </c>
      <c r="F50" s="12">
        <f t="shared" si="2"/>
        <v>75902.477400000003</v>
      </c>
      <c r="G50" s="10" t="s">
        <v>28</v>
      </c>
    </row>
    <row r="51" spans="1:7" ht="15" customHeight="1" x14ac:dyDescent="0.25">
      <c r="A51" s="13" t="s">
        <v>127</v>
      </c>
      <c r="B51" s="14" t="s">
        <v>128</v>
      </c>
      <c r="C51" s="13" t="s">
        <v>31</v>
      </c>
      <c r="D51" s="15">
        <v>43543.27</v>
      </c>
      <c r="E51" s="15">
        <v>2486.36</v>
      </c>
      <c r="F51" s="16">
        <f t="shared" si="2"/>
        <v>108264244.79719999</v>
      </c>
      <c r="G51" s="14" t="s">
        <v>32</v>
      </c>
    </row>
    <row r="52" spans="1:7" ht="15" customHeight="1" x14ac:dyDescent="0.25">
      <c r="A52" s="9" t="s">
        <v>129</v>
      </c>
      <c r="B52" s="10" t="s">
        <v>130</v>
      </c>
      <c r="C52" s="9" t="s">
        <v>71</v>
      </c>
      <c r="D52" s="11">
        <v>716.45</v>
      </c>
      <c r="E52" s="11">
        <v>1682.56</v>
      </c>
      <c r="F52" s="12">
        <f t="shared" si="2"/>
        <v>1205470.112</v>
      </c>
      <c r="G52" s="10" t="s">
        <v>35</v>
      </c>
    </row>
    <row r="53" spans="1:7" ht="15" customHeight="1" x14ac:dyDescent="0.25">
      <c r="A53" s="13" t="s">
        <v>131</v>
      </c>
      <c r="B53" s="14" t="s">
        <v>132</v>
      </c>
      <c r="C53" s="13" t="s">
        <v>27</v>
      </c>
      <c r="D53" s="15">
        <v>3334.54</v>
      </c>
      <c r="E53" s="15">
        <v>155.47</v>
      </c>
      <c r="F53" s="16">
        <f t="shared" si="2"/>
        <v>518420.9338</v>
      </c>
      <c r="G53" s="14" t="s">
        <v>39</v>
      </c>
    </row>
    <row r="54" spans="1:7" ht="15" customHeight="1" x14ac:dyDescent="0.25">
      <c r="A54" s="9" t="s">
        <v>133</v>
      </c>
      <c r="B54" s="10" t="s">
        <v>134</v>
      </c>
      <c r="C54" s="9" t="s">
        <v>96</v>
      </c>
      <c r="D54" s="11">
        <v>370.24</v>
      </c>
      <c r="E54" s="11">
        <v>884.2</v>
      </c>
      <c r="F54" s="12">
        <f t="shared" si="2"/>
        <v>327366.20800000004</v>
      </c>
      <c r="G54" s="10" t="s">
        <v>42</v>
      </c>
    </row>
    <row r="55" spans="1:7" ht="15" customHeight="1" x14ac:dyDescent="0.25">
      <c r="A55" s="13" t="s">
        <v>135</v>
      </c>
      <c r="B55" s="14" t="s">
        <v>136</v>
      </c>
      <c r="C55" s="13" t="s">
        <v>54</v>
      </c>
      <c r="D55" s="15">
        <v>3451.88</v>
      </c>
      <c r="E55" s="15">
        <v>98.66</v>
      </c>
      <c r="F55" s="16">
        <f t="shared" si="2"/>
        <v>340562.48080000002</v>
      </c>
      <c r="G55" s="14" t="s">
        <v>45</v>
      </c>
    </row>
    <row r="56" spans="1:7" ht="15" customHeight="1" x14ac:dyDescent="0.25">
      <c r="A56" s="9" t="s">
        <v>137</v>
      </c>
      <c r="B56" s="10" t="s">
        <v>138</v>
      </c>
      <c r="C56" s="9" t="s">
        <v>64</v>
      </c>
      <c r="D56" s="11">
        <v>426.68</v>
      </c>
      <c r="E56" s="11">
        <v>72.17</v>
      </c>
      <c r="F56" s="12">
        <f t="shared" si="2"/>
        <v>30793.495600000002</v>
      </c>
      <c r="G56" s="10" t="s">
        <v>48</v>
      </c>
    </row>
    <row r="57" spans="1:7" ht="15" customHeight="1" x14ac:dyDescent="0.25">
      <c r="A57" s="13" t="s">
        <v>139</v>
      </c>
      <c r="B57" s="14" t="s">
        <v>140</v>
      </c>
      <c r="C57" s="13" t="s">
        <v>141</v>
      </c>
      <c r="D57" s="15">
        <v>143724.24</v>
      </c>
      <c r="E57" s="15">
        <v>77.61</v>
      </c>
      <c r="F57" s="16">
        <f t="shared" si="2"/>
        <v>11154438.2664</v>
      </c>
      <c r="G57" s="14" t="s">
        <v>51</v>
      </c>
    </row>
    <row r="58" spans="1:7" ht="15" customHeight="1" x14ac:dyDescent="0.25">
      <c r="A58" s="9" t="s">
        <v>142</v>
      </c>
      <c r="B58" s="10" t="s">
        <v>143</v>
      </c>
      <c r="C58" s="9" t="s">
        <v>64</v>
      </c>
      <c r="D58" s="11">
        <v>13731.27</v>
      </c>
      <c r="E58" s="11">
        <v>4018.19</v>
      </c>
      <c r="F58" s="12">
        <f t="shared" si="2"/>
        <v>55174851.801300004</v>
      </c>
      <c r="G58" s="10"/>
    </row>
    <row r="59" spans="1:7" ht="15" customHeight="1" x14ac:dyDescent="0.25">
      <c r="A59" s="13" t="s">
        <v>144</v>
      </c>
      <c r="B59" s="14" t="s">
        <v>145</v>
      </c>
      <c r="C59" s="13" t="s">
        <v>54</v>
      </c>
      <c r="D59" s="15">
        <v>227658.71</v>
      </c>
      <c r="E59" s="15">
        <v>695.6</v>
      </c>
      <c r="F59" s="16">
        <f t="shared" si="2"/>
        <v>158359398.676</v>
      </c>
      <c r="G59" s="14"/>
    </row>
    <row r="60" spans="1:7" ht="15" customHeight="1" x14ac:dyDescent="0.25">
      <c r="A60" s="9" t="s">
        <v>146</v>
      </c>
      <c r="B60" s="10" t="s">
        <v>147</v>
      </c>
      <c r="C60" s="9" t="s">
        <v>31</v>
      </c>
      <c r="D60" s="11">
        <v>3878.93</v>
      </c>
      <c r="E60" s="11">
        <v>2042.75</v>
      </c>
      <c r="F60" s="12">
        <f t="shared" si="2"/>
        <v>7923684.2574999994</v>
      </c>
      <c r="G60" s="10"/>
    </row>
    <row r="61" spans="1:7" ht="15" customHeight="1" x14ac:dyDescent="0.25">
      <c r="A61" s="13" t="s">
        <v>148</v>
      </c>
      <c r="B61" s="14" t="s">
        <v>149</v>
      </c>
      <c r="C61" s="13" t="s">
        <v>16</v>
      </c>
      <c r="D61" s="15">
        <v>31834.53</v>
      </c>
      <c r="E61" s="15">
        <v>124.39</v>
      </c>
      <c r="F61" s="16">
        <f t="shared" si="2"/>
        <v>3959897.1867</v>
      </c>
      <c r="G61" s="14"/>
    </row>
    <row r="62" spans="1:7" ht="15" customHeight="1" x14ac:dyDescent="0.25">
      <c r="A62" s="9" t="s">
        <v>150</v>
      </c>
      <c r="B62" s="10" t="s">
        <v>151</v>
      </c>
      <c r="C62" s="9" t="s">
        <v>71</v>
      </c>
      <c r="D62" s="11">
        <v>157080.60999999999</v>
      </c>
      <c r="E62" s="11">
        <v>1274.9000000000001</v>
      </c>
      <c r="F62" s="12">
        <f t="shared" si="2"/>
        <v>200262069.68900001</v>
      </c>
      <c r="G62" s="10"/>
    </row>
    <row r="63" spans="1:7" ht="15" customHeight="1" x14ac:dyDescent="0.25">
      <c r="A63" s="13" t="s">
        <v>152</v>
      </c>
      <c r="B63" s="14" t="s">
        <v>153</v>
      </c>
      <c r="C63" s="13" t="s">
        <v>54</v>
      </c>
      <c r="D63" s="15">
        <v>167.79</v>
      </c>
      <c r="E63" s="15">
        <v>17.14</v>
      </c>
      <c r="F63" s="16">
        <f t="shared" si="2"/>
        <v>2875.9205999999999</v>
      </c>
      <c r="G63" s="14"/>
    </row>
    <row r="64" spans="1:7" ht="15" customHeight="1" x14ac:dyDescent="0.25">
      <c r="A64" s="9" t="s">
        <v>154</v>
      </c>
      <c r="B64" s="10" t="s">
        <v>155</v>
      </c>
      <c r="C64" s="9" t="s">
        <v>31</v>
      </c>
      <c r="D64" s="11">
        <v>1634.27</v>
      </c>
      <c r="E64" s="11">
        <v>27.68</v>
      </c>
      <c r="F64" s="12">
        <f t="shared" si="2"/>
        <v>45236.5936</v>
      </c>
      <c r="G64" s="10"/>
    </row>
    <row r="65" spans="1:7" ht="15" customHeight="1" x14ac:dyDescent="0.25">
      <c r="A65" s="13" t="s">
        <v>156</v>
      </c>
      <c r="B65" s="14" t="s">
        <v>157</v>
      </c>
      <c r="C65" s="13" t="s">
        <v>96</v>
      </c>
      <c r="D65" s="15">
        <v>4382.43</v>
      </c>
      <c r="E65" s="15">
        <v>699.86</v>
      </c>
      <c r="F65" s="16">
        <f t="shared" si="2"/>
        <v>3067087.4598000003</v>
      </c>
      <c r="G65" s="14"/>
    </row>
    <row r="66" spans="1:7" ht="24" customHeight="1" x14ac:dyDescent="0.25">
      <c r="A66" s="17" t="s">
        <v>158</v>
      </c>
      <c r="B66" s="18" t="s">
        <v>159</v>
      </c>
      <c r="C66" s="19"/>
      <c r="D66" s="19"/>
      <c r="E66" s="19"/>
      <c r="F66" s="20">
        <f>SUM(F2:F65)</f>
        <v>1335616063.0827999</v>
      </c>
      <c r="G66" s="1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Import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Pinheiro</cp:lastModifiedBy>
  <dcterms:created xsi:type="dcterms:W3CDTF">2026-03-05T16:52:10Z</dcterms:created>
  <dcterms:modified xsi:type="dcterms:W3CDTF">2026-03-05T17:13:33Z</dcterms:modified>
</cp:coreProperties>
</file>